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enarios" sheetId="1" state="visible" r:id="rId1"/>
    <sheet name="BreakEv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Conservador</t>
        </is>
      </c>
      <c r="C1" t="inlineStr">
        <is>
          <t>Base</t>
        </is>
      </c>
      <c r="D1" t="inlineStr">
        <is>
          <t>Agresivo</t>
        </is>
      </c>
    </row>
    <row r="2">
      <c r="A2" t="inlineStr">
        <is>
          <t>MAU</t>
        </is>
      </c>
      <c r="B2" t="inlineStr">
        <is>
          <t>1000</t>
        </is>
      </c>
      <c r="C2" t="inlineStr">
        <is>
          <t>1000</t>
        </is>
      </c>
      <c r="D2" t="inlineStr">
        <is>
          <t>1000</t>
        </is>
      </c>
    </row>
    <row r="3">
      <c r="A3" t="inlineStr">
        <is>
          <t>Fotos por usuario/mes</t>
        </is>
      </c>
      <c r="B3" t="inlineStr">
        <is>
          <t>3</t>
        </is>
      </c>
      <c r="C3" t="inlineStr">
        <is>
          <t>5</t>
        </is>
      </c>
      <c r="D3" t="inlineStr">
        <is>
          <t>8</t>
        </is>
      </c>
    </row>
    <row r="4">
      <c r="A4" t="inlineStr">
        <is>
          <t>Tamano promedio foto MB</t>
        </is>
      </c>
      <c r="B4" t="inlineStr">
        <is>
          <t>0.30</t>
        </is>
      </c>
      <c r="C4" t="inlineStr">
        <is>
          <t>0.45</t>
        </is>
      </c>
      <c r="D4" t="inlineStr">
        <is>
          <t>0.70</t>
        </is>
      </c>
    </row>
    <row r="5">
      <c r="A5" t="inlineStr">
        <is>
          <t>Multiplicador descargas por foto</t>
        </is>
      </c>
      <c r="B5" t="inlineStr">
        <is>
          <t>1.8</t>
        </is>
      </c>
      <c r="C5" t="inlineStr">
        <is>
          <t>2.5</t>
        </is>
      </c>
      <c r="D5" t="inlineStr">
        <is>
          <t>4.0</t>
        </is>
      </c>
    </row>
    <row r="6">
      <c r="A6" t="inlineStr">
        <is>
          <t>Precio storage USD por GB/mes</t>
        </is>
      </c>
      <c r="B6" t="inlineStr">
        <is>
          <t>0.021</t>
        </is>
      </c>
      <c r="C6" t="inlineStr">
        <is>
          <t>0.021</t>
        </is>
      </c>
      <c r="D6" t="inlineStr">
        <is>
          <t>0.021</t>
        </is>
      </c>
    </row>
    <row r="7">
      <c r="A7" t="inlineStr">
        <is>
          <t>Precio egress USD por GB</t>
        </is>
      </c>
      <c r="B7" t="inlineStr">
        <is>
          <t>0.09</t>
        </is>
      </c>
      <c r="C7" t="inlineStr">
        <is>
          <t>0.09</t>
        </is>
      </c>
      <c r="D7" t="inlineStr">
        <is>
          <t>0.09</t>
        </is>
      </c>
    </row>
    <row r="8">
      <c r="A8" t="inlineStr">
        <is>
          <t>Costo fijo Vercel</t>
        </is>
      </c>
      <c r="B8" t="inlineStr">
        <is>
          <t>20</t>
        </is>
      </c>
      <c r="C8" t="inlineStr">
        <is>
          <t>20</t>
        </is>
      </c>
      <c r="D8" t="inlineStr">
        <is>
          <t>20</t>
        </is>
      </c>
    </row>
    <row r="9">
      <c r="A9" t="inlineStr">
        <is>
          <t>Costo fijo Supabase</t>
        </is>
      </c>
      <c r="B9" t="inlineStr">
        <is>
          <t>25</t>
        </is>
      </c>
      <c r="C9" t="inlineStr">
        <is>
          <t>35</t>
        </is>
      </c>
      <c r="D9" t="inlineStr">
        <is>
          <t>60</t>
        </is>
      </c>
    </row>
    <row r="10">
      <c r="A10" t="inlineStr">
        <is>
          <t>Costo monitoreo/logs</t>
        </is>
      </c>
      <c r="B10" t="inlineStr">
        <is>
          <t>0</t>
        </is>
      </c>
      <c r="C10" t="inlineStr">
        <is>
          <t>10</t>
        </is>
      </c>
      <c r="D10" t="inlineStr">
        <is>
          <t>30</t>
        </is>
      </c>
    </row>
    <row r="11">
      <c r="A11" t="inlineStr">
        <is>
          <t>Otros fijos dominio/prorrateos</t>
        </is>
      </c>
      <c r="B11" t="inlineStr">
        <is>
          <t>2</t>
        </is>
      </c>
      <c r="C11" t="inlineStr">
        <is>
          <t>2</t>
        </is>
      </c>
      <c r="D11" t="inlineStr">
        <is>
          <t>2</t>
        </is>
      </c>
    </row>
    <row r="12">
      <c r="A12" t="inlineStr"/>
      <c r="B12" t="inlineStr"/>
      <c r="C12" t="inlineStr"/>
      <c r="D12" t="inlineStr"/>
      <c r="E12" t="inlineStr">
        <is>
          <t> </t>
        </is>
      </c>
    </row>
    <row r="13">
      <c r="A13" t="inlineStr">
        <is>
          <t>Fotos totales por mes</t>
        </is>
      </c>
      <c r="B13">
        <f>B2*B3</f>
        <v/>
      </c>
      <c r="C13">
        <f>C2*C3</f>
        <v/>
      </c>
      <c r="D13">
        <f>D2*D3</f>
        <v/>
      </c>
    </row>
    <row r="14">
      <c r="A14" t="inlineStr">
        <is>
          <t>GB subidos por mes</t>
        </is>
      </c>
      <c r="B14">
        <f>(B12*B4)/1024</f>
        <v/>
      </c>
      <c r="C14">
        <f>(C12*C4)/1024</f>
        <v/>
      </c>
      <c r="D14">
        <f>(D12*D4)/1024</f>
        <v/>
      </c>
    </row>
    <row r="15">
      <c r="A15" t="inlineStr">
        <is>
          <t>GB egress por mes</t>
        </is>
      </c>
      <c r="B15">
        <f>B13*B5</f>
        <v/>
      </c>
      <c r="C15">
        <f>C13*C5</f>
        <v/>
      </c>
      <c r="D15">
        <f>D13*D5</f>
        <v/>
      </c>
    </row>
    <row r="16">
      <c r="A16" t="inlineStr">
        <is>
          <t>Costo storage</t>
        </is>
      </c>
      <c r="B16">
        <f>B13*B6</f>
        <v/>
      </c>
      <c r="C16">
        <f>C13*C6</f>
        <v/>
      </c>
      <c r="D16">
        <f>D13*D6</f>
        <v/>
      </c>
    </row>
    <row r="17">
      <c r="A17" t="inlineStr">
        <is>
          <t>Costo egress</t>
        </is>
      </c>
      <c r="B17">
        <f>B14*B7</f>
        <v/>
      </c>
      <c r="C17">
        <f>C14*C7</f>
        <v/>
      </c>
      <c r="D17">
        <f>D14*D7</f>
        <v/>
      </c>
    </row>
    <row r="18">
      <c r="A18" t="inlineStr">
        <is>
          <t>Total variable</t>
        </is>
      </c>
      <c r="B18">
        <f>B15+B16</f>
        <v/>
      </c>
      <c r="C18">
        <f>C15+C16</f>
        <v/>
      </c>
      <c r="D18">
        <f>D15+D16</f>
        <v/>
      </c>
    </row>
    <row r="19">
      <c r="A19" t="inlineStr">
        <is>
          <t>Total fijo</t>
        </is>
      </c>
      <c r="B19">
        <f>B8+B9+B10+B11</f>
        <v/>
      </c>
      <c r="C19">
        <f>C8+C9+C10+C11</f>
        <v/>
      </c>
      <c r="D19">
        <f>D8+D9+D10+D11</f>
        <v/>
      </c>
    </row>
    <row r="20">
      <c r="A20" t="inlineStr">
        <is>
          <t>Total mensual</t>
        </is>
      </c>
      <c r="B20">
        <f>B17+B18</f>
        <v/>
      </c>
      <c r="C20">
        <f>C17+C18</f>
        <v/>
      </c>
      <c r="D20">
        <f>D17+D18</f>
        <v/>
      </c>
    </row>
    <row r="21">
      <c r="A21" t="inlineStr">
        <is>
          <t>Costo por MAU</t>
        </is>
      </c>
      <c r="B21">
        <f>B19/B2</f>
        <v/>
      </c>
      <c r="C21">
        <f>C19/C2</f>
        <v/>
      </c>
      <c r="D21">
        <f>D19/D2</f>
        <v/>
      </c>
    </row>
    <row r="22">
      <c r="A22" t="inlineStr">
        <is>
          <t>Buffer porcentaje</t>
        </is>
      </c>
      <c r="B22" t="inlineStr">
        <is>
          <t>0.30</t>
        </is>
      </c>
      <c r="C22" t="inlineStr">
        <is>
          <t>0.30</t>
        </is>
      </c>
      <c r="D22" t="inlineStr">
        <is>
          <t>0.30</t>
        </is>
      </c>
    </row>
    <row r="23">
      <c r="A23" t="inlineStr">
        <is>
          <t>Total con buffer</t>
        </is>
      </c>
      <c r="B23">
        <f>B19*(1+B21)</f>
        <v/>
      </c>
      <c r="C23">
        <f>C19*(1+C21)</f>
        <v/>
      </c>
      <c r="D23">
        <f>D19*(1+D21)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Valor</t>
        </is>
      </c>
      <c r="C1" t="inlineStr">
        <is>
          <t>Formula/Notas</t>
        </is>
      </c>
    </row>
    <row r="2">
      <c r="A2" t="inlineStr">
        <is>
          <t>MAU</t>
        </is>
      </c>
      <c r="B2" t="inlineStr">
        <is>
          <t>1000</t>
        </is>
      </c>
      <c r="C2" t="inlineStr"/>
    </row>
    <row r="3">
      <c r="A3" t="inlineStr">
        <is>
          <t>Total mensual sin buffer</t>
        </is>
      </c>
      <c r="B3">
        <f>Escenarios!C20</f>
        <v/>
      </c>
      <c r="C3" t="inlineStr">
        <is>
          <t>Total mensual Base (sin buffer) desde hoja Escenarios</t>
        </is>
      </c>
    </row>
    <row r="4">
      <c r="A4" t="inlineStr">
        <is>
          <t>Buffer de seguridad</t>
        </is>
      </c>
      <c r="B4" t="inlineStr">
        <is>
          <t>0.30</t>
        </is>
      </c>
      <c r="C4" t="inlineStr"/>
    </row>
    <row r="5">
      <c r="A5" t="inlineStr">
        <is>
          <t>Total mensual objetivo con buffer</t>
        </is>
      </c>
      <c r="B5">
        <f>B3*(1+B4)</f>
        <v/>
      </c>
      <c r="C5" t="inlineStr"/>
    </row>
    <row r="6">
      <c r="A6" t="inlineStr">
        <is>
          <t>Costo IA mensual solo pendientes</t>
        </is>
      </c>
      <c r="B6" t="inlineStr">
        <is>
          <t>100</t>
        </is>
      </c>
      <c r="C6" t="inlineStr">
        <is>
          <t>Ajusta segun proveedor y volumen real de pendientes</t>
        </is>
      </c>
    </row>
    <row r="7">
      <c r="A7" t="inlineStr">
        <is>
          <t>Total mensual objetivo con IA</t>
        </is>
      </c>
      <c r="B7">
        <f>B5+B6</f>
        <v/>
      </c>
      <c r="C7" t="inlineStr"/>
    </row>
    <row r="8">
      <c r="A8" t="inlineStr"/>
      <c r="B8" t="inlineStr"/>
      <c r="C8" t="inlineStr"/>
    </row>
    <row r="9">
      <c r="A9" t="inlineStr">
        <is>
          <t>Total mensual conservador con buffer</t>
        </is>
      </c>
      <c r="B9">
        <f>Escenarios!B23</f>
        <v/>
      </c>
      <c r="C9" t="inlineStr">
        <is>
          <t>Referencia de rango inferior</t>
        </is>
      </c>
    </row>
    <row r="10">
      <c r="A10" t="inlineStr">
        <is>
          <t>Total mensual agresivo con buffer</t>
        </is>
      </c>
      <c r="B10">
        <f>Escenarios!D23</f>
        <v/>
      </c>
      <c r="C10" t="inlineStr">
        <is>
          <t>Referencia de rango superior</t>
        </is>
      </c>
    </row>
    <row r="11">
      <c r="A11" t="inlineStr">
        <is>
          <t>Rango total con IA minimo</t>
        </is>
      </c>
      <c r="B11">
        <f>B8+B6</f>
        <v/>
      </c>
      <c r="C11" t="inlineStr">
        <is>
          <t>Conservador + IA</t>
        </is>
      </c>
    </row>
    <row r="12">
      <c r="A12" t="inlineStr">
        <is>
          <t>Rango total con IA maximo</t>
        </is>
      </c>
      <c r="B12">
        <f>B9+B6</f>
        <v/>
      </c>
      <c r="C12" t="inlineStr">
        <is>
          <t>Agresivo + IA</t>
        </is>
      </c>
    </row>
    <row r="13">
      <c r="A13" t="inlineStr"/>
      <c r="B13" t="inlineStr"/>
      <c r="C13" t="inlineStr"/>
      <c r="D13" t="inlineStr"/>
    </row>
    <row r="14">
      <c r="A14" t="inlineStr">
        <is>
          <t>Porcentaje conversion a pago</t>
        </is>
      </c>
      <c r="B14" t="inlineStr">
        <is>
          <t>0.03</t>
        </is>
      </c>
      <c r="C14" t="inlineStr">
        <is>
          <t>3 por ciento</t>
        </is>
      </c>
    </row>
    <row r="15">
      <c r="A15" t="inlineStr">
        <is>
          <t>Precio mensual plan USD</t>
        </is>
      </c>
      <c r="B15" t="inlineStr">
        <is>
          <t>4.99</t>
        </is>
      </c>
      <c r="C15" t="inlineStr"/>
    </row>
    <row r="16">
      <c r="A16" t="inlineStr">
        <is>
          <t>Comision pasarela porcentaje</t>
        </is>
      </c>
      <c r="B16" t="inlineStr">
        <is>
          <t>0.05</t>
        </is>
      </c>
      <c r="C16" t="inlineStr">
        <is>
          <t>5 por ciento</t>
        </is>
      </c>
    </row>
    <row r="17">
      <c r="A17" t="inlineStr">
        <is>
          <t>Costo fijo pasarela mensual USD</t>
        </is>
      </c>
      <c r="B17" t="inlineStr">
        <is>
          <t>10</t>
        </is>
      </c>
      <c r="C17" t="inlineStr"/>
    </row>
    <row r="18">
      <c r="A18" t="inlineStr">
        <is>
          <t>Ingreso neto por usuario pago</t>
        </is>
      </c>
      <c r="B18">
        <f>B10*(1-B11)</f>
        <v/>
      </c>
      <c r="C18" t="inlineStr"/>
    </row>
    <row r="19">
      <c r="A19" t="inlineStr"/>
      <c r="B19" t="inlineStr"/>
      <c r="C19" t="inlineStr"/>
      <c r="D19" t="inlineStr"/>
    </row>
    <row r="20">
      <c r="A20" t="inlineStr">
        <is>
          <t>Usuarios pagos necesarios break-even</t>
        </is>
      </c>
      <c r="B20">
        <f>ROUNDUP((B7+B12)/B13</f>
        <v/>
      </c>
      <c r="C20" t="inlineStr">
        <is>
          <t>0)</t>
        </is>
      </c>
      <c r="D20" t="inlineStr"/>
    </row>
    <row r="21">
      <c r="A21" t="inlineStr">
        <is>
          <t>Porcentaje conversion necesario</t>
        </is>
      </c>
      <c r="B21">
        <f>B15/B2</f>
        <v/>
      </c>
      <c r="C21" t="inlineStr"/>
    </row>
    <row r="22">
      <c r="A22" t="inlineStr">
        <is>
          <t>Usuarios pagos estimados con conversion actual</t>
        </is>
      </c>
      <c r="B22">
        <f>ROUND(B2*B9</f>
        <v/>
      </c>
      <c r="C22" t="inlineStr">
        <is>
          <t>0)</t>
        </is>
      </c>
      <c r="D22" t="inlineStr"/>
    </row>
    <row r="23">
      <c r="A23" t="inlineStr">
        <is>
          <t>Ingreso neto mensual estimado</t>
        </is>
      </c>
      <c r="B23">
        <f>(B17*B13)-B12</f>
        <v/>
      </c>
      <c r="C23" t="inlineStr"/>
    </row>
    <row r="24">
      <c r="A24" t="inlineStr">
        <is>
          <t>Ganancia o perdida mensual</t>
        </is>
      </c>
      <c r="B24">
        <f>B18-B7</f>
        <v/>
      </c>
      <c r="C24" t="inlineStr"/>
    </row>
    <row r="25">
      <c r="A25" t="inlineStr">
        <is>
          <t>ARPU neto requerido USD por MAU</t>
        </is>
      </c>
      <c r="B25">
        <f>B7/B2</f>
        <v/>
      </c>
      <c r="C25" t="inlineStr"/>
    </row>
    <row r="26">
      <c r="A26" t="inlineStr">
        <is>
          <t>ARPPU neto USD por usuario pago</t>
        </is>
      </c>
      <c r="B26">
        <f>B13</f>
        <v/>
      </c>
      <c r="C26" t="inlineStr"/>
    </row>
    <row r="27">
      <c r="A27" t="inlineStr"/>
      <c r="B27" t="inlineStr"/>
      <c r="C27" t="inlineStr"/>
      <c r="D27" t="inlineStr"/>
    </row>
    <row r="28">
      <c r="A28" t="inlineStr">
        <is>
          <t>RESUMEN TOTALES 1000 USUARIOS (USD/MES)</t>
        </is>
      </c>
      <c r="B28" t="inlineStr"/>
      <c r="C28" t="inlineStr">
        <is>
          <t>No son costos unitarios</t>
        </is>
      </c>
    </row>
    <row r="29">
      <c r="A29" t="inlineStr">
        <is>
          <t>Total mensual base sin IA (1000 usuarios)</t>
        </is>
      </c>
      <c r="B29">
        <f>B5</f>
        <v/>
      </c>
      <c r="C29" t="inlineStr"/>
    </row>
    <row r="30">
      <c r="A30" t="inlineStr">
        <is>
          <t>Total mensual con IA (1000 usuarios)</t>
        </is>
      </c>
      <c r="B30">
        <f>B7</f>
        <v/>
      </c>
      <c r="C30" t="inlineStr"/>
    </row>
    <row r="31">
      <c r="A31" t="inlineStr">
        <is>
          <t>Total mensual minimo con IA (1000 usuarios)</t>
        </is>
      </c>
      <c r="B31">
        <f>B10</f>
        <v/>
      </c>
      <c r="C31" t="inlineStr"/>
    </row>
    <row r="32">
      <c r="A32" t="inlineStr">
        <is>
          <t>Total mensual maximo con IA (1000 usuarios)</t>
        </is>
      </c>
      <c r="B32">
        <f>B11</f>
        <v/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2026-05-11T14:33:35Z</dcterms:created>
  <dcterms:modified xsi:type="dcterms:W3CDTF">2026-05-11T14:33:35Z</dcterms:modified>
</cp:coreProperties>
</file>